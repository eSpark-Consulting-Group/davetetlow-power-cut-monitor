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<sst xmlns="http://schemas.openxmlformats.org/spreadsheetml/2006/main" count="199" uniqueCount="149">
  <si>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</si>
  <si>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</si>
  <si>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</si>
  <si>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</si>
  <si>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</si>
  <si>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</si>
  <si>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</si>
  <si>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</si>
  <si>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</si>
  <si>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</si>
  <si>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Antenna</t>
  </si>
  <si>
    <t>Ant1</t>
  </si>
  <si>
    <t>1.8 3dBi Vertical 50W Antennas ROHS</t>
  </si>
  <si>
    <t>Custom</t>
  </si>
  <si>
    <t>BW315SNX39-6W3</t>
  </si>
  <si>
    <t>BAT WIRELESS</t>
  </si>
  <si>
    <t>-</t>
  </si>
  <si>
    <t>Capacitor</t>
  </si>
  <si>
    <t>C1, C8</t>
  </si>
  <si>
    <t>CAP CER 0.1UF 50V X7R 0402</t>
  </si>
  <si>
    <t>cap-0402</t>
  </si>
  <si>
    <t>C1005X7R1H104KT000F</t>
  </si>
  <si>
    <t>TDK</t>
  </si>
  <si>
    <t>100nF</t>
  </si>
  <si>
    <t>C2, C4, C5</t>
  </si>
  <si>
    <t>CAP CER 10UF 10V X5R 0402</t>
  </si>
  <si>
    <t>Cap-0402</t>
  </si>
  <si>
    <t>CC0402MRX5R6BB106</t>
  </si>
  <si>
    <t>Yageo</t>
  </si>
  <si>
    <t>10uF</t>
  </si>
  <si>
    <t>C3</t>
  </si>
  <si>
    <t>CAP CER 1UF 16V X5R 0402</t>
  </si>
  <si>
    <t>CC0402KRX5R7BB105</t>
  </si>
  <si>
    <t>1uF</t>
  </si>
  <si>
    <t>C6, C7</t>
  </si>
  <si>
    <t>CAP CER 22UF 6.3V X5R 0603</t>
  </si>
  <si>
    <t>Cap-0603</t>
  </si>
  <si>
    <t>CC0603MRX5R5BB226</t>
  </si>
  <si>
    <t>22uF</t>
  </si>
  <si>
    <t>C9</t>
  </si>
  <si>
    <t>CAP TANT 33UF 10% 10V 1411</t>
  </si>
  <si>
    <t>Case-B</t>
  </si>
  <si>
    <t>TAJB336K010RNJ</t>
  </si>
  <si>
    <t>Kyocera AVX</t>
  </si>
  <si>
    <t>33uF</t>
  </si>
  <si>
    <t>C10</t>
  </si>
  <si>
    <t>CAP CER 2.2nF 50V X7R ±5% 0402 MLCC - SMD/SMT ROHS</t>
  </si>
  <si>
    <t>04025C222JAT2A</t>
  </si>
  <si>
    <t>2.2nF</t>
  </si>
  <si>
    <t>Capacitors</t>
  </si>
  <si>
    <t>C11, C12</t>
  </si>
  <si>
    <t>CAP CER 15PF 50V C0G/NPO 0402</t>
  </si>
  <si>
    <t>CQ0402GRNPO9BN150</t>
  </si>
  <si>
    <t>15pF</t>
  </si>
  <si>
    <t>Tantalum Capacitors</t>
  </si>
  <si>
    <t>C13, C14, C15, C16, C17</t>
  </si>
  <si>
    <t>CAP TANT 100UF 20% 6.3V 1411</t>
  </si>
  <si>
    <t>TPSB107M006R0250</t>
  </si>
  <si>
    <t>100uF</t>
  </si>
  <si>
    <t>Diode</t>
  </si>
  <si>
    <t>D1, D2, D3</t>
  </si>
  <si>
    <t>DIODE GEN PURP 100V 300MA SOD123</t>
  </si>
  <si>
    <t>1N4148W-7-F</t>
  </si>
  <si>
    <t>Diodes</t>
  </si>
  <si>
    <t>Connector</t>
  </si>
  <si>
    <t>J1</t>
  </si>
  <si>
    <t>1x6P SH 1 1mm 6 SMD,P=1mm Wire To Board / Wire To Wire Connector ROHS</t>
  </si>
  <si>
    <t>C145963</t>
  </si>
  <si>
    <t>BOOMELE</t>
  </si>
  <si>
    <t>Battery Holder</t>
  </si>
  <si>
    <t>J2</t>
  </si>
  <si>
    <t>Battery box Tin -25℃~+85℃ Phosphor Bronze No. 7 SMD Button And Strip Battery Connector ROHS</t>
  </si>
  <si>
    <t>BH-AAA-B5AK001</t>
  </si>
  <si>
    <t>MYOUNG</t>
  </si>
  <si>
    <t>Inductor</t>
  </si>
  <si>
    <t>L1</t>
  </si>
  <si>
    <t>3.7A 0.47uH ±30% 6A 1212 Power Inductors ROHS</t>
  </si>
  <si>
    <t>SPM3015-R47N</t>
  </si>
  <si>
    <t>KOHERelec</t>
  </si>
  <si>
    <t>0.47uH</t>
  </si>
  <si>
    <t>BJTs</t>
  </si>
  <si>
    <t>Q1</t>
  </si>
  <si>
    <t>TRANS NPN 45V 0.1A TO-236AB</t>
  </si>
  <si>
    <t>SOT-23</t>
  </si>
  <si>
    <t>BC847C,215</t>
  </si>
  <si>
    <t>Nexperia</t>
  </si>
  <si>
    <t>Resistor</t>
  </si>
  <si>
    <t>R1, R4, R5</t>
  </si>
  <si>
    <t>RES 10K OHM 1% 1/16W 0402</t>
  </si>
  <si>
    <t>Res-0402</t>
  </si>
  <si>
    <t>RC0402FR-0710KL</t>
  </si>
  <si>
    <t>10K</t>
  </si>
  <si>
    <t>R2</t>
  </si>
  <si>
    <t>RES 1K OHM 1% 1/16W 0402</t>
  </si>
  <si>
    <t>RC0402FR-071KL</t>
  </si>
  <si>
    <t>1K</t>
  </si>
  <si>
    <t>Resistors</t>
  </si>
  <si>
    <t>R3</t>
  </si>
  <si>
    <t>RES 453K OHM 1% 1/16W 0402</t>
  </si>
  <si>
    <t>RC0402FR-07453KL</t>
  </si>
  <si>
    <t>453K</t>
  </si>
  <si>
    <t>R6, R8</t>
  </si>
  <si>
    <t>RES 100K OHM 1% 1/16W 0402</t>
  </si>
  <si>
    <t>RC0402FR-07100KL</t>
  </si>
  <si>
    <t>100K</t>
  </si>
  <si>
    <t>R7</t>
  </si>
  <si>
    <t>RES 1M OHM 1% 1/16W 0402</t>
  </si>
  <si>
    <t>RC0402FR-071ML</t>
  </si>
  <si>
    <t>1M</t>
  </si>
  <si>
    <t>R9</t>
  </si>
  <si>
    <t>RES 220K OHM 1% 1/16W 0402</t>
  </si>
  <si>
    <t>RC0402FR-07220KL</t>
  </si>
  <si>
    <t>220K</t>
  </si>
  <si>
    <t>R10</t>
  </si>
  <si>
    <t>62.5mW Thick Film Resistors 50V ±100ppm/℃ ±1% 560kΩ 0402 Chip Resistor - Surface Mount ROHS</t>
  </si>
  <si>
    <t>0402WGF5603TCE</t>
  </si>
  <si>
    <t>UNI-ROYAL(Uniroyal Elec)</t>
  </si>
  <si>
    <t>560K</t>
  </si>
  <si>
    <t>Switch</t>
  </si>
  <si>
    <t>SW1, SW2</t>
  </si>
  <si>
    <t>SWITCH TACTILE SPST-NO 0.05A 12V</t>
  </si>
  <si>
    <t>B3U-1000P</t>
  </si>
  <si>
    <t>Omron</t>
  </si>
  <si>
    <t>SW3</t>
  </si>
  <si>
    <t>3A Direct Insert Single Pole Double Throw (SPDT) 125V Black 10,000 times Plugin Slide Switches ROHS</t>
  </si>
  <si>
    <t>SS-12D10L9</t>
  </si>
  <si>
    <t>XKB Connectivity</t>
  </si>
  <si>
    <t>Module</t>
  </si>
  <si>
    <t>U1</t>
  </si>
  <si>
    <t>RF TXRX MOD BT WIFI PCB TH SMD</t>
  </si>
  <si>
    <t>ESP32-C3-WROOM-02-N4</t>
  </si>
  <si>
    <t>Espressif Systems</t>
  </si>
  <si>
    <t>IC</t>
  </si>
  <si>
    <t>U2</t>
  </si>
  <si>
    <t>IC REG BOOST ADJ 3A SOT563</t>
  </si>
  <si>
    <t>SOT-563</t>
  </si>
  <si>
    <t>TPS61023DRLR</t>
  </si>
  <si>
    <t>Texas Instruments</t>
  </si>
  <si>
    <t>Inverter</t>
  </si>
  <si>
    <t>U3</t>
  </si>
  <si>
    <t>6 1uA 3V~15V SOP-14 Inverters ROHS</t>
  </si>
  <si>
    <t>SOP-14</t>
  </si>
  <si>
    <t>CD4069</t>
  </si>
  <si>
    <t>Slkor(SLKORMICRO Elec.)</t>
  </si>
  <si>
    <t>Crystals</t>
  </si>
  <si>
    <t>X1</t>
  </si>
  <si>
    <t>32.768kHz Surface Mount Crystal 12.5pF ±20ppm SMD3215-2P Crystals ROHS</t>
  </si>
  <si>
    <t>Q13FC13500004</t>
  </si>
  <si>
    <t>Epson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</si>
</sst>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9"/>
  <sheetViews>
    <sheetView tabSelected="1" topLeftCell="D12" workbookViewId="0">
      <selection activeCell="K25" sqref="K25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7"/>
      <c r="J1" s="17"/>
      <c r="K1" s="17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ht="15.75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3" t="s">
        <v>23</v>
      </c>
      <c r="J4" s="12">
        <v>2</v>
      </c>
      <c r="K4" s="12"/>
    </row>
    <row r="5" ht="15.75" spans="1:11">
      <c r="A5" s="2"/>
      <c r="B5" s="7">
        <f>ROW(B5)-ROW($B$2)</f>
        <v>3</v>
      </c>
      <c r="C5" s="8" t="s">
        <v>17</v>
      </c>
      <c r="D5" s="9" t="s">
        <v>24</v>
      </c>
      <c r="E5" s="10" t="s">
        <v>25</v>
      </c>
      <c r="F5" s="9" t="s">
        <v>26</v>
      </c>
      <c r="G5" s="10" t="s">
        <v>27</v>
      </c>
      <c r="H5" s="9" t="s">
        <v>28</v>
      </c>
      <c r="I5" s="10" t="s">
        <v>29</v>
      </c>
      <c r="J5" s="9">
        <v>3</v>
      </c>
      <c r="K5" s="9"/>
    </row>
    <row r="6" ht="15.75" spans="1:11">
      <c r="A6" s="2"/>
      <c r="B6" s="7">
        <f>ROW(B6)-ROW($B$2)</f>
        <v>4</v>
      </c>
      <c r="C6" s="11" t="s">
        <v>17</v>
      </c>
      <c r="D6" s="12" t="s">
        <v>30</v>
      </c>
      <c r="E6" s="13" t="s">
        <v>31</v>
      </c>
      <c r="F6" s="12" t="s">
        <v>26</v>
      </c>
      <c r="G6" s="13" t="s">
        <v>32</v>
      </c>
      <c r="H6" s="12" t="s">
        <v>28</v>
      </c>
      <c r="I6" s="13" t="s">
        <v>33</v>
      </c>
      <c r="J6" s="12">
        <v>1</v>
      </c>
      <c r="K6" s="12"/>
    </row>
    <row r="7" ht="15.75" spans="1:11">
      <c r="A7" s="2"/>
      <c r="B7" s="7">
        <f>ROW(B7)-ROW($B$2)</f>
        <v>5</v>
      </c>
      <c r="C7" s="8" t="s">
        <v>17</v>
      </c>
      <c r="D7" s="9" t="s">
        <v>34</v>
      </c>
      <c r="E7" s="10" t="s">
        <v>35</v>
      </c>
      <c r="F7" s="9" t="s">
        <v>36</v>
      </c>
      <c r="G7" s="10" t="s">
        <v>37</v>
      </c>
      <c r="H7" s="9" t="s">
        <v>28</v>
      </c>
      <c r="I7" s="10" t="s">
        <v>38</v>
      </c>
      <c r="J7" s="9">
        <v>2</v>
      </c>
      <c r="K7" s="9"/>
    </row>
    <row r="8" ht="15.75" spans="1:11">
      <c r="A8" s="2"/>
      <c r="B8" s="7">
        <f>ROW(B8)-ROW($B$2)</f>
        <v>6</v>
      </c>
      <c r="C8" s="11" t="s">
        <v>17</v>
      </c>
      <c r="D8" s="12" t="s">
        <v>39</v>
      </c>
      <c r="E8" s="13" t="s">
        <v>40</v>
      </c>
      <c r="F8" s="12" t="s">
        <v>41</v>
      </c>
      <c r="G8" s="13" t="s">
        <v>42</v>
      </c>
      <c r="H8" s="12" t="s">
        <v>43</v>
      </c>
      <c r="I8" s="13" t="s">
        <v>44</v>
      </c>
      <c r="J8" s="12">
        <v>1</v>
      </c>
      <c r="K8" s="12"/>
    </row>
    <row r="9" ht="24.75" spans="1:11">
      <c r="A9" s="2"/>
      <c r="B9" s="7">
        <f>ROW(B9)-ROW($B$2)</f>
        <v>7</v>
      </c>
      <c r="C9" s="8" t="s">
        <v>17</v>
      </c>
      <c r="D9" s="9" t="s">
        <v>45</v>
      </c>
      <c r="E9" s="10" t="s">
        <v>46</v>
      </c>
      <c r="F9" s="9" t="s">
        <v>26</v>
      </c>
      <c r="G9" s="10" t="s">
        <v>47</v>
      </c>
      <c r="H9" s="9" t="s">
        <v>43</v>
      </c>
      <c r="I9" s="10" t="s">
        <v>48</v>
      </c>
      <c r="J9" s="9">
        <v>1</v>
      </c>
      <c r="K9" s="9"/>
    </row>
    <row r="10" ht="15.75" spans="1:11">
      <c r="A10" s="2"/>
      <c r="B10" s="7">
        <f>ROW(B10)-ROW($B$2)</f>
        <v>8</v>
      </c>
      <c r="C10" s="11" t="s">
        <v>49</v>
      </c>
      <c r="D10" s="12" t="s">
        <v>50</v>
      </c>
      <c r="E10" s="13" t="s">
        <v>51</v>
      </c>
      <c r="F10" s="12" t="s">
        <v>26</v>
      </c>
      <c r="G10" s="13" t="s">
        <v>52</v>
      </c>
      <c r="H10" s="12" t="s">
        <v>28</v>
      </c>
      <c r="I10" s="13" t="s">
        <v>53</v>
      </c>
      <c r="J10" s="12">
        <v>2</v>
      </c>
      <c r="K10" s="12"/>
    </row>
    <row r="11" ht="15.75" spans="1:11">
      <c r="A11" s="2"/>
      <c r="B11" s="7">
        <f>ROW(B11)-ROW($B$2)</f>
        <v>9</v>
      </c>
      <c r="C11" s="8" t="s">
        <v>54</v>
      </c>
      <c r="D11" s="9" t="s">
        <v>55</v>
      </c>
      <c r="E11" s="10" t="s">
        <v>56</v>
      </c>
      <c r="F11" s="9" t="s">
        <v>41</v>
      </c>
      <c r="G11" s="10" t="s">
        <v>57</v>
      </c>
      <c r="H11" s="9" t="s">
        <v>43</v>
      </c>
      <c r="I11" s="10" t="s">
        <v>58</v>
      </c>
      <c r="J11" s="9">
        <v>5</v>
      </c>
      <c r="K11" s="9"/>
    </row>
    <row r="12" ht="15.75" spans="1:11">
      <c r="A12" s="2"/>
      <c r="B12" s="7">
        <f>ROW(B12)-ROW($B$2)</f>
        <v>10</v>
      </c>
      <c r="C12" s="11" t="s">
        <v>59</v>
      </c>
      <c r="D12" s="12" t="s">
        <v>60</v>
      </c>
      <c r="E12" s="13" t="s">
        <v>61</v>
      </c>
      <c r="F12" s="12" t="s">
        <v>13</v>
      </c>
      <c r="G12" s="13" t="s">
        <v>62</v>
      </c>
      <c r="H12" s="12" t="s">
        <v>63</v>
      </c>
      <c r="I12" s="13" t="s">
        <v>16</v>
      </c>
      <c r="J12" s="12">
        <v>3</v>
      </c>
      <c r="K12" s="12"/>
    </row>
    <row r="13" ht="24.75" spans="1:11">
      <c r="A13" s="2"/>
      <c r="B13" s="7">
        <f>ROW(B13)-ROW($B$2)</f>
        <v>11</v>
      </c>
      <c r="C13" s="8" t="s">
        <v>64</v>
      </c>
      <c r="D13" s="9" t="s">
        <v>65</v>
      </c>
      <c r="E13" s="10" t="s">
        <v>66</v>
      </c>
      <c r="F13" s="12" t="s">
        <v>13</v>
      </c>
      <c r="G13" s="10" t="s">
        <v>67</v>
      </c>
      <c r="H13" s="9" t="s">
        <v>68</v>
      </c>
      <c r="I13" s="10" t="s">
        <v>16</v>
      </c>
      <c r="J13" s="9">
        <v>1</v>
      </c>
      <c r="K13" s="9"/>
    </row>
    <row r="14" ht="36.75" spans="1:11">
      <c r="A14" s="2"/>
      <c r="B14" s="7">
        <f>ROW(B14)-ROW($B$2)</f>
        <v>12</v>
      </c>
      <c r="C14" s="11" t="s">
        <v>69</v>
      </c>
      <c r="D14" s="12" t="s">
        <v>70</v>
      </c>
      <c r="E14" s="13" t="s">
        <v>71</v>
      </c>
      <c r="F14" s="12" t="s">
        <v>13</v>
      </c>
      <c r="G14" s="13" t="s">
        <v>72</v>
      </c>
      <c r="H14" s="12" t="s">
        <v>73</v>
      </c>
      <c r="I14" s="13" t="s">
        <v>16</v>
      </c>
      <c r="J14" s="12">
        <v>1</v>
      </c>
      <c r="K14" s="12"/>
    </row>
    <row r="15" ht="24.75" spans="1:11">
      <c r="A15" s="2"/>
      <c r="B15" s="7">
        <f>ROW(B15)-ROW($B$2)</f>
        <v>13</v>
      </c>
      <c r="C15" s="8" t="s">
        <v>74</v>
      </c>
      <c r="D15" s="9" t="s">
        <v>75</v>
      </c>
      <c r="E15" s="10" t="s">
        <v>76</v>
      </c>
      <c r="F15" s="12" t="s">
        <v>13</v>
      </c>
      <c r="G15" s="10" t="s">
        <v>77</v>
      </c>
      <c r="H15" s="9" t="s">
        <v>78</v>
      </c>
      <c r="I15" s="10" t="s">
        <v>79</v>
      </c>
      <c r="J15" s="9">
        <v>1</v>
      </c>
      <c r="K15" s="9"/>
    </row>
    <row r="16" ht="15.75" spans="1:11">
      <c r="A16" s="2"/>
      <c r="B16" s="7">
        <f>ROW(B16)-ROW($B$2)</f>
        <v>14</v>
      </c>
      <c r="C16" s="11" t="s">
        <v>80</v>
      </c>
      <c r="D16" s="12" t="s">
        <v>81</v>
      </c>
      <c r="E16" s="13" t="s">
        <v>82</v>
      </c>
      <c r="F16" s="12" t="s">
        <v>83</v>
      </c>
      <c r="G16" s="13" t="s">
        <v>84</v>
      </c>
      <c r="H16" s="12" t="s">
        <v>85</v>
      </c>
      <c r="I16" s="13" t="s">
        <v>16</v>
      </c>
      <c r="J16" s="12">
        <v>1</v>
      </c>
      <c r="K16" s="12"/>
    </row>
    <row r="17" ht="15.75" spans="1:11">
      <c r="A17" s="2"/>
      <c r="B17" s="7">
        <f>ROW(B17)-ROW($B$2)</f>
        <v>15</v>
      </c>
      <c r="C17" s="8" t="s">
        <v>86</v>
      </c>
      <c r="D17" s="9" t="s">
        <v>87</v>
      </c>
      <c r="E17" s="10" t="s">
        <v>88</v>
      </c>
      <c r="F17" s="9" t="s">
        <v>89</v>
      </c>
      <c r="G17" s="10" t="s">
        <v>90</v>
      </c>
      <c r="H17" s="9" t="s">
        <v>28</v>
      </c>
      <c r="I17" s="10" t="s">
        <v>91</v>
      </c>
      <c r="J17" s="9">
        <v>3</v>
      </c>
      <c r="K17" s="9"/>
    </row>
    <row r="18" ht="15.75" spans="1:11">
      <c r="A18" s="2"/>
      <c r="B18" s="7">
        <f>ROW(B18)-ROW($B$2)</f>
        <v>16</v>
      </c>
      <c r="C18" s="11" t="s">
        <v>86</v>
      </c>
      <c r="D18" s="12" t="s">
        <v>92</v>
      </c>
      <c r="E18" s="13" t="s">
        <v>93</v>
      </c>
      <c r="F18" s="12" t="s">
        <v>89</v>
      </c>
      <c r="G18" s="13" t="s">
        <v>94</v>
      </c>
      <c r="H18" s="12" t="s">
        <v>28</v>
      </c>
      <c r="I18" s="13" t="s">
        <v>95</v>
      </c>
      <c r="J18" s="12">
        <v>1</v>
      </c>
      <c r="K18" s="12"/>
    </row>
    <row r="19" ht="15.75" spans="1:11">
      <c r="A19" s="2"/>
      <c r="B19" s="7">
        <f>ROW(B19)-ROW($B$2)</f>
        <v>17</v>
      </c>
      <c r="C19" s="8" t="s">
        <v>96</v>
      </c>
      <c r="D19" s="9" t="s">
        <v>97</v>
      </c>
      <c r="E19" s="10" t="s">
        <v>98</v>
      </c>
      <c r="F19" s="9" t="s">
        <v>89</v>
      </c>
      <c r="G19" s="10" t="s">
        <v>99</v>
      </c>
      <c r="H19" s="9" t="s">
        <v>28</v>
      </c>
      <c r="I19" s="10" t="s">
        <v>100</v>
      </c>
      <c r="J19" s="9">
        <v>1</v>
      </c>
      <c r="K19" s="9"/>
    </row>
    <row r="20" ht="15.75" spans="1:11">
      <c r="A20" s="2"/>
      <c r="B20" s="7">
        <f>ROW(B20)-ROW($B$2)</f>
        <v>18</v>
      </c>
      <c r="C20" s="11" t="s">
        <v>86</v>
      </c>
      <c r="D20" s="12" t="s">
        <v>101</v>
      </c>
      <c r="E20" s="13" t="s">
        <v>102</v>
      </c>
      <c r="F20" s="12" t="s">
        <v>89</v>
      </c>
      <c r="G20" s="13" t="s">
        <v>103</v>
      </c>
      <c r="H20" s="12" t="s">
        <v>28</v>
      </c>
      <c r="I20" s="13" t="s">
        <v>104</v>
      </c>
      <c r="J20" s="12">
        <v>2</v>
      </c>
      <c r="K20" s="12"/>
    </row>
    <row r="21" ht="15.75" spans="1:11">
      <c r="A21" s="2"/>
      <c r="B21" s="7">
        <f>ROW(B21)-ROW($B$2)</f>
        <v>19</v>
      </c>
      <c r="C21" s="8" t="s">
        <v>86</v>
      </c>
      <c r="D21" s="9" t="s">
        <v>105</v>
      </c>
      <c r="E21" s="10" t="s">
        <v>106</v>
      </c>
      <c r="F21" s="9" t="s">
        <v>89</v>
      </c>
      <c r="G21" s="10" t="s">
        <v>107</v>
      </c>
      <c r="H21" s="9" t="s">
        <v>28</v>
      </c>
      <c r="I21" s="10" t="s">
        <v>108</v>
      </c>
      <c r="J21" s="9">
        <v>1</v>
      </c>
      <c r="K21" s="9"/>
    </row>
    <row r="22" ht="15.75" spans="1:11">
      <c r="A22" s="2"/>
      <c r="B22" s="7">
        <f>ROW(B22)-ROW($B$2)</f>
        <v>20</v>
      </c>
      <c r="C22" s="11" t="s">
        <v>86</v>
      </c>
      <c r="D22" s="12" t="s">
        <v>109</v>
      </c>
      <c r="E22" s="13" t="s">
        <v>110</v>
      </c>
      <c r="F22" s="12" t="s">
        <v>89</v>
      </c>
      <c r="G22" s="13" t="s">
        <v>111</v>
      </c>
      <c r="H22" s="12" t="s">
        <v>28</v>
      </c>
      <c r="I22" s="13" t="s">
        <v>112</v>
      </c>
      <c r="J22" s="12">
        <v>1</v>
      </c>
      <c r="K22" s="12"/>
    </row>
    <row r="23" ht="36.75" spans="1:11">
      <c r="A23" s="2"/>
      <c r="B23" s="7">
        <f>ROW(B23)-ROW($B$2)</f>
        <v>21</v>
      </c>
      <c r="C23" s="8" t="s">
        <v>86</v>
      </c>
      <c r="D23" s="9" t="s">
        <v>113</v>
      </c>
      <c r="E23" s="10" t="s">
        <v>114</v>
      </c>
      <c r="F23" s="9" t="s">
        <v>89</v>
      </c>
      <c r="G23" s="10" t="s">
        <v>115</v>
      </c>
      <c r="H23" s="9" t="s">
        <v>116</v>
      </c>
      <c r="I23" s="10" t="s">
        <v>117</v>
      </c>
      <c r="J23" s="9">
        <v>1</v>
      </c>
      <c r="K23" s="9"/>
    </row>
    <row r="24" spans="1:11">
      <c r="A24" s="2"/>
      <c r="B24" s="7">
        <f>ROW(B24)-ROW($B$2)</f>
        <v>22</v>
      </c>
      <c r="C24" s="11" t="s">
        <v>118</v>
      </c>
      <c r="D24" s="12" t="s">
        <v>119</v>
      </c>
      <c r="E24" s="13" t="s">
        <v>120</v>
      </c>
      <c r="F24" s="12" t="s">
        <v>13</v>
      </c>
      <c r="G24" s="13" t="s">
        <v>121</v>
      </c>
      <c r="H24" s="12" t="s">
        <v>122</v>
      </c>
      <c r="I24" s="13" t="s">
        <v>16</v>
      </c>
      <c r="J24" s="12">
        <v>2</v>
      </c>
      <c r="K24" s="12"/>
    </row>
    <row r="25" ht="36.75" spans="1:11">
      <c r="A25" s="2"/>
      <c r="B25" s="7"/>
      <c r="C25" s="14" t="s">
        <v>118</v>
      </c>
      <c r="D25" s="15" t="s">
        <v>123</v>
      </c>
      <c r="E25" s="16" t="s">
        <v>124</v>
      </c>
      <c r="F25" s="12" t="s">
        <v>13</v>
      </c>
      <c r="G25" s="16" t="s">
        <v>125</v>
      </c>
      <c r="H25" s="15" t="s">
        <v>126</v>
      </c>
      <c r="I25" s="16" t="s">
        <v>16</v>
      </c>
      <c r="J25" s="15">
        <v>1</v>
      </c>
      <c r="K25" s="15"/>
    </row>
    <row r="26" spans="1:11">
      <c r="A26" s="2"/>
      <c r="B26" s="7">
        <f>ROW(B26)-ROW($B$2)</f>
        <v>24</v>
      </c>
      <c r="C26" s="8" t="s">
        <v>127</v>
      </c>
      <c r="D26" s="9" t="s">
        <v>128</v>
      </c>
      <c r="E26" s="10" t="s">
        <v>129</v>
      </c>
      <c r="F26" s="12" t="s">
        <v>13</v>
      </c>
      <c r="G26" s="10" t="s">
        <v>130</v>
      </c>
      <c r="H26" s="9" t="s">
        <v>131</v>
      </c>
      <c r="I26" s="10" t="s">
        <v>16</v>
      </c>
      <c r="J26" s="9">
        <v>1</v>
      </c>
      <c r="K26" s="9"/>
    </row>
    <row r="27" ht="15.75" spans="1:11">
      <c r="A27" s="2"/>
      <c r="B27" s="7">
        <f>ROW(B27)-ROW($B$2)</f>
        <v>25</v>
      </c>
      <c r="C27" s="11" t="s">
        <v>132</v>
      </c>
      <c r="D27" s="12" t="s">
        <v>133</v>
      </c>
      <c r="E27" s="13" t="s">
        <v>134</v>
      </c>
      <c r="F27" s="12" t="s">
        <v>135</v>
      </c>
      <c r="G27" s="13" t="s">
        <v>136</v>
      </c>
      <c r="H27" s="12" t="s">
        <v>137</v>
      </c>
      <c r="I27" s="13" t="s">
        <v>16</v>
      </c>
      <c r="J27" s="12">
        <v>1</v>
      </c>
      <c r="K27" s="12"/>
    </row>
    <row r="28" ht="15.75" spans="1:11">
      <c r="A28" s="2"/>
      <c r="B28" s="7">
        <f>ROW(B28)-ROW($B$2)</f>
        <v>26</v>
      </c>
      <c r="C28" s="8" t="s">
        <v>138</v>
      </c>
      <c r="D28" s="9" t="s">
        <v>139</v>
      </c>
      <c r="E28" s="10" t="s">
        <v>140</v>
      </c>
      <c r="F28" s="9" t="s">
        <v>141</v>
      </c>
      <c r="G28" s="10" t="s">
        <v>142</v>
      </c>
      <c r="H28" s="9" t="s">
        <v>143</v>
      </c>
      <c r="I28" s="10" t="s">
        <v>16</v>
      </c>
      <c r="J28" s="9">
        <v>1</v>
      </c>
      <c r="K28" s="9"/>
    </row>
    <row r="29" ht="36.75" spans="1:11">
      <c r="A29" s="2"/>
      <c r="B29" s="7">
        <f>ROW(B29)-ROW($B$2)</f>
        <v>27</v>
      </c>
      <c r="C29" s="11" t="s">
        <v>144</v>
      </c>
      <c r="D29" s="12" t="s">
        <v>145</v>
      </c>
      <c r="E29" s="13" t="s">
        <v>146</v>
      </c>
      <c r="F29" s="12" t="s">
        <v>13</v>
      </c>
      <c r="G29" s="13" t="s">
        <v>147</v>
      </c>
      <c r="H29" s="12" t="s">
        <v>148</v>
      </c>
      <c r="I29" s="13" t="s">
        <v>16</v>
      </c>
      <c r="J29" s="12">
        <v>1</v>
      </c>
      <c r="K29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2025-05-07T07:42:11Z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893A29F8FCBE419B920A0F9000AD1AD2_13</vt:lpwstr>
  </property>
  <property fmtid="{D5CDD505-2E9C-101B-9397-08002B2CF9AE}" pid="3" name="KSOProductBuildVer">
    <vt:lpwstr>1033-12.2.0.20795</vt:lpwstr>
  </property>
</Properties>
</file>