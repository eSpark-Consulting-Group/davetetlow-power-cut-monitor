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davetetlow-PowerCutMonitor\Design-Files\PowerCutMonitor-v1.1 (Contactless Version)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2" i="1" l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<sst xmlns="http://schemas.openxmlformats.org/spreadsheetml/2006/main" count="219" uniqueCount="165">
  <si>
    <t>#</t>
  </si>
  <si>
    <t>Item Type</t>
  </si>
  <si>
    <t>Capacitors</t>
  </si>
  <si>
    <t>Capacitor</t>
  </si>
  <si>
    <t>Tantalum Capacitors</t>
  </si>
  <si>
    <t>Diode</t>
  </si>
  <si>
    <t>Battery Connector</t>
  </si>
  <si>
    <t>Connector</t>
  </si>
  <si>
    <t>Inductor</t>
  </si>
  <si>
    <t>LED</t>
  </si>
  <si>
    <t>Mosfet</t>
  </si>
  <si>
    <t>BJTs</t>
  </si>
  <si>
    <t>Resistor</t>
  </si>
  <si>
    <t>Switch</t>
  </si>
  <si>
    <t>Module</t>
  </si>
  <si>
    <t>IC</t>
  </si>
  <si>
    <t>Crystals</t>
  </si>
  <si>
    <t>Designator</t>
  </si>
  <si>
    <t>C1</t>
  </si>
  <si>
    <t>C2, C7, C13, C14</t>
  </si>
  <si>
    <t>C3</t>
  </si>
  <si>
    <t>C4</t>
  </si>
  <si>
    <t>C5, C6</t>
  </si>
  <si>
    <t>C8</t>
  </si>
  <si>
    <t>C9, C10</t>
  </si>
  <si>
    <t>C11, C12</t>
  </si>
  <si>
    <t>C15</t>
  </si>
  <si>
    <t>D1, D3</t>
  </si>
  <si>
    <t>D2</t>
  </si>
  <si>
    <t>J1</t>
  </si>
  <si>
    <t>J2</t>
  </si>
  <si>
    <t>L1</t>
  </si>
  <si>
    <t>LED1</t>
  </si>
  <si>
    <t>Q1</t>
  </si>
  <si>
    <t>Q2, Q4</t>
  </si>
  <si>
    <t>Q3</t>
  </si>
  <si>
    <t>R1, R2, R3</t>
  </si>
  <si>
    <t>R4, R5, R7</t>
  </si>
  <si>
    <t>R6</t>
  </si>
  <si>
    <t>R8</t>
  </si>
  <si>
    <t>R9</t>
  </si>
  <si>
    <t>R12, R13, R14</t>
  </si>
  <si>
    <t>SW1</t>
  </si>
  <si>
    <t>SW2, SW3</t>
  </si>
  <si>
    <t>U1</t>
  </si>
  <si>
    <t>U2</t>
  </si>
  <si>
    <t>U3</t>
  </si>
  <si>
    <t>X1</t>
  </si>
  <si>
    <t>Description</t>
  </si>
  <si>
    <t>CAP TANT 68UF 10% 16V 2312</t>
  </si>
  <si>
    <t>CAP CER 0.1UF 50V X7R 0402</t>
  </si>
  <si>
    <t>CAP CER 10UF 10V X5R 0402</t>
  </si>
  <si>
    <t>CAP CER 1UF 16V X5R 0402</t>
  </si>
  <si>
    <t>CAP TANT 100UF 20% 6.3V 1411</t>
  </si>
  <si>
    <t>CAP CER 10UF 16V X7R 1206</t>
  </si>
  <si>
    <t>CAP CER 15PF 50V C0G/NPO 0402</t>
  </si>
  <si>
    <t>CAP CER 22UF 6.3V X7R 0805</t>
  </si>
  <si>
    <t>CAP TANT 33UF 10% 10V 1411</t>
  </si>
  <si>
    <t>DIODE ZENER 3.3V 200MW SOD323F</t>
  </si>
  <si>
    <t>DIODE GEN PURP 75V 150MA SOD323</t>
  </si>
  <si>
    <t>Battery Clip Nickel Copper 9V Stacked Battery Button And Strip Battery Connector ROHS</t>
  </si>
  <si>
    <t>1x6P SH 1 1mm 6 SMD,P=1mm Wire To Board / Wire To Wire Connector ROHS</t>
  </si>
  <si>
    <t>FIXED IND 3.9UH 2.5A 56MOHM SMD</t>
  </si>
  <si>
    <t>Emerald 0603 Light Emitting Diodes (LED) ROHS</t>
  </si>
  <si>
    <t>30V 4.1A 60mΩ@10V,4.1A 350mW 3V@250uA P Channel SOT-23 MOSFETs ROHS</t>
  </si>
  <si>
    <t>TRANS NPN 45V 0.1A TO92-3</t>
  </si>
  <si>
    <t>40V 100mW 100@10mA,1V 200mA 300MHz 300mV@50mA,5mA NPN -55℃~+150℃@(Tj) SOT-723 Bipolar Transistors - BJT ROHS</t>
  </si>
  <si>
    <t>RES 10K OHM 1% 1/16W 0402</t>
  </si>
  <si>
    <t>RES 1K OHM 1% 1/16W 0402</t>
  </si>
  <si>
    <t>RES 47K OHM 1% 1/16W 0402</t>
  </si>
  <si>
    <t>RES 4.7K OHM 1% 1/16W 0402</t>
  </si>
  <si>
    <t>RES 18K OHM 1% 1/16W 0402</t>
  </si>
  <si>
    <t>RES 100K OHM 1% 1/16W 0402</t>
  </si>
  <si>
    <t>3A Direct Insert Single Pole Double Throw (SPDT) 125V Black 10,000 times Plugin Slide Switches ROHS</t>
  </si>
  <si>
    <t>SWITCH TACTILE SPST-NO 0.05A 12V</t>
  </si>
  <si>
    <t>RF TXRX MOD BT WIFI PCB TH SMD</t>
  </si>
  <si>
    <t>IC REG BUCK 3.3V 2A TSOT26</t>
  </si>
  <si>
    <t>IC FF D-TYPE SINGLE 4BIT 16PDIP</t>
  </si>
  <si>
    <t>32.768kHz Surface Mount Crystal 12.5pF ±20ppm SMD3215-2P Crystals ROHS</t>
  </si>
  <si>
    <t>Footprint</t>
  </si>
  <si>
    <t>Case-C</t>
  </si>
  <si>
    <t>cap-0402</t>
  </si>
  <si>
    <t>Cap-0402</t>
  </si>
  <si>
    <t>Case-B</t>
  </si>
  <si>
    <t>Cap-1206</t>
  </si>
  <si>
    <t>Cap-0805</t>
  </si>
  <si>
    <t>SOD323F</t>
  </si>
  <si>
    <t>SOD-323</t>
  </si>
  <si>
    <t>BE-13-010</t>
  </si>
  <si>
    <t>SWPA5020S3R9NT</t>
  </si>
  <si>
    <t>LED-0603</t>
  </si>
  <si>
    <t>SOT-23</t>
  </si>
  <si>
    <t>TO-92-3L</t>
  </si>
  <si>
    <t>SOT-723</t>
  </si>
  <si>
    <t>Res-0402</t>
  </si>
  <si>
    <t>SS-12D10L9</t>
  </si>
  <si>
    <t>B3U-1000P</t>
  </si>
  <si>
    <t>ESP32-C3-WROOM-02-N4</t>
  </si>
  <si>
    <t>TSOT-23-6</t>
  </si>
  <si>
    <t>PDIP-16</t>
  </si>
  <si>
    <t>SMD3215-2P</t>
  </si>
  <si>
    <t>Manufacturer Part Number</t>
  </si>
  <si>
    <t>TAJC686K016RNJ</t>
  </si>
  <si>
    <t>C1005X7R1H104KT000F</t>
  </si>
  <si>
    <t>CC0402MRX5R6BB106</t>
  </si>
  <si>
    <t>CC0402KRX5R7BB105</t>
  </si>
  <si>
    <t>TPSB107M006R0250</t>
  </si>
  <si>
    <t>CC1206KKX7R7BB106</t>
  </si>
  <si>
    <t>CQ0402GRNPO9BN150</t>
  </si>
  <si>
    <t>GRM21BZ70J226ME44L</t>
  </si>
  <si>
    <t>TAJB336K010RNJ</t>
  </si>
  <si>
    <t>MM3Z3V3B</t>
  </si>
  <si>
    <t>1N4148WS-7-F</t>
  </si>
  <si>
    <t>C145963</t>
  </si>
  <si>
    <t>NCD0603G2</t>
  </si>
  <si>
    <t>AO3407</t>
  </si>
  <si>
    <t>BC547BTA</t>
  </si>
  <si>
    <t>MMBT3904M</t>
  </si>
  <si>
    <t>RC0402FR-0710KL</t>
  </si>
  <si>
    <t>RC0402FR-071KL</t>
  </si>
  <si>
    <t>RC0402FR-0747KL</t>
  </si>
  <si>
    <t>RC0402FR-074K7L</t>
  </si>
  <si>
    <t>RC0402FR-0718KL</t>
  </si>
  <si>
    <t>RC0402FR-07100KL</t>
  </si>
  <si>
    <t>AP63203WU-7</t>
  </si>
  <si>
    <t>CD40175BE</t>
  </si>
  <si>
    <t>Q13FC13500004</t>
  </si>
  <si>
    <t>Manufacturer</t>
  </si>
  <si>
    <t>Kyocera AVX</t>
  </si>
  <si>
    <t>TDK</t>
  </si>
  <si>
    <t>Yageo</t>
  </si>
  <si>
    <t>Murata</t>
  </si>
  <si>
    <t>ON Semiconductor / Fairchild</t>
  </si>
  <si>
    <t>Diodes</t>
  </si>
  <si>
    <t>MYOUNG</t>
  </si>
  <si>
    <t>BOOMELE</t>
  </si>
  <si>
    <t>Sunlord</t>
  </si>
  <si>
    <t>Foshan NationStar Optoelectronics</t>
  </si>
  <si>
    <t>Guangdong Hottech</t>
  </si>
  <si>
    <t>TECH PUBLIC</t>
  </si>
  <si>
    <t>XKB Connectivity</t>
  </si>
  <si>
    <t>Omron</t>
  </si>
  <si>
    <t>Espressif Systems</t>
  </si>
  <si>
    <t>Texas Instruments</t>
  </si>
  <si>
    <t>Epson</t>
  </si>
  <si>
    <t>68uF</t>
  </si>
  <si>
    <t>100nF</t>
  </si>
  <si>
    <t>10uF</t>
  </si>
  <si>
    <t>1uF</t>
  </si>
  <si>
    <t>100uF</t>
  </si>
  <si>
    <t>15pF</t>
  </si>
  <si>
    <t>22uF</t>
  </si>
  <si>
    <t>33uF</t>
  </si>
  <si>
    <t>3.9uH</t>
  </si>
  <si>
    <t>10K</t>
  </si>
  <si>
    <t>1K</t>
  </si>
  <si>
    <t>47K</t>
  </si>
  <si>
    <t>4.7K</t>
  </si>
  <si>
    <t>18K</t>
  </si>
  <si>
    <t>100K</t>
  </si>
  <si>
    <t>Quantity</t>
  </si>
  <si>
    <t>Remarks</t>
  </si>
  <si>
    <t>Value</t>
  </si>
  <si>
    <t>-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</si>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</sst>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2"/>
  <sheetViews>
    <sheetView tabSelected="1" workbookViewId="0">
      <selection activeCell="F14" sqref="F1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9.5703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17</v>
      </c>
      <c r="E2" s="6" t="s">
        <v>48</v>
      </c>
      <c r="F2" s="5" t="s">
        <v>79</v>
      </c>
      <c r="G2" s="6" t="s">
        <v>101</v>
      </c>
      <c r="H2" s="5" t="s">
        <v>127</v>
      </c>
      <c r="I2" s="6" t="s">
        <v>162</v>
      </c>
      <c r="J2" s="5" t="s">
        <v>160</v>
      </c>
      <c r="K2" s="5" t="s">
        <v>161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18</v>
      </c>
      <c r="E3" s="8" t="s">
        <v>49</v>
      </c>
      <c r="F3" s="7" t="s">
        <v>80</v>
      </c>
      <c r="G3" s="8" t="s">
        <v>102</v>
      </c>
      <c r="H3" s="7" t="s">
        <v>128</v>
      </c>
      <c r="I3" s="8" t="s">
        <v>145</v>
      </c>
      <c r="J3" s="7">
        <v>1</v>
      </c>
      <c r="K3" s="7"/>
    </row>
    <row r="4" spans="1:11" ht="15.75" thickBot="1" x14ac:dyDescent="0.3">
      <c r="A4" s="1"/>
      <c r="B4" s="11">
        <f t="shared" ref="B4:B32" si="0">ROW(B4) - ROW($B$2)</f>
        <v>2</v>
      </c>
      <c r="C4" s="13" t="s">
        <v>3</v>
      </c>
      <c r="D4" s="9" t="s">
        <v>19</v>
      </c>
      <c r="E4" s="10" t="s">
        <v>50</v>
      </c>
      <c r="F4" s="9" t="s">
        <v>81</v>
      </c>
      <c r="G4" s="10" t="s">
        <v>103</v>
      </c>
      <c r="H4" s="9" t="s">
        <v>129</v>
      </c>
      <c r="I4" s="10" t="s">
        <v>146</v>
      </c>
      <c r="J4" s="9">
        <v>4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20</v>
      </c>
      <c r="E5" s="8" t="s">
        <v>51</v>
      </c>
      <c r="F5" s="7" t="s">
        <v>82</v>
      </c>
      <c r="G5" s="8" t="s">
        <v>104</v>
      </c>
      <c r="H5" s="7" t="s">
        <v>130</v>
      </c>
      <c r="I5" s="8" t="s">
        <v>147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21</v>
      </c>
      <c r="E6" s="10" t="s">
        <v>52</v>
      </c>
      <c r="F6" s="9" t="s">
        <v>82</v>
      </c>
      <c r="G6" s="10" t="s">
        <v>105</v>
      </c>
      <c r="H6" s="9" t="s">
        <v>130</v>
      </c>
      <c r="I6" s="10" t="s">
        <v>148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22</v>
      </c>
      <c r="E7" s="8" t="s">
        <v>53</v>
      </c>
      <c r="F7" s="7" t="s">
        <v>83</v>
      </c>
      <c r="G7" s="8" t="s">
        <v>106</v>
      </c>
      <c r="H7" s="7" t="s">
        <v>128</v>
      </c>
      <c r="I7" s="8" t="s">
        <v>149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23</v>
      </c>
      <c r="E8" s="10" t="s">
        <v>54</v>
      </c>
      <c r="F8" s="9" t="s">
        <v>84</v>
      </c>
      <c r="G8" s="10" t="s">
        <v>107</v>
      </c>
      <c r="H8" s="9" t="s">
        <v>130</v>
      </c>
      <c r="I8" s="10" t="s">
        <v>147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24</v>
      </c>
      <c r="E9" s="8" t="s">
        <v>55</v>
      </c>
      <c r="F9" s="7" t="s">
        <v>82</v>
      </c>
      <c r="G9" s="8" t="s">
        <v>108</v>
      </c>
      <c r="H9" s="7" t="s">
        <v>130</v>
      </c>
      <c r="I9" s="8" t="s">
        <v>150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25</v>
      </c>
      <c r="E10" s="10" t="s">
        <v>56</v>
      </c>
      <c r="F10" s="9" t="s">
        <v>85</v>
      </c>
      <c r="G10" s="10" t="s">
        <v>109</v>
      </c>
      <c r="H10" s="9" t="s">
        <v>131</v>
      </c>
      <c r="I10" s="10" t="s">
        <v>151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26</v>
      </c>
      <c r="E11" s="8" t="s">
        <v>57</v>
      </c>
      <c r="F11" s="7" t="s">
        <v>83</v>
      </c>
      <c r="G11" s="8" t="s">
        <v>110</v>
      </c>
      <c r="H11" s="7" t="s">
        <v>128</v>
      </c>
      <c r="I11" s="8" t="s">
        <v>152</v>
      </c>
      <c r="J11" s="7">
        <v>1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5</v>
      </c>
      <c r="D12" s="9" t="s">
        <v>27</v>
      </c>
      <c r="E12" s="10" t="s">
        <v>58</v>
      </c>
      <c r="F12" s="9" t="s">
        <v>86</v>
      </c>
      <c r="G12" s="10" t="s">
        <v>111</v>
      </c>
      <c r="H12" s="9" t="s">
        <v>132</v>
      </c>
      <c r="I12" s="10" t="s">
        <v>163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5</v>
      </c>
      <c r="D13" s="7" t="s">
        <v>28</v>
      </c>
      <c r="E13" s="8" t="s">
        <v>59</v>
      </c>
      <c r="F13" s="7" t="s">
        <v>87</v>
      </c>
      <c r="G13" s="8" t="s">
        <v>112</v>
      </c>
      <c r="H13" s="7" t="s">
        <v>133</v>
      </c>
      <c r="I13" s="10" t="s">
        <v>163</v>
      </c>
      <c r="J13" s="7">
        <v>1</v>
      </c>
      <c r="K13" s="7"/>
    </row>
    <row r="14" spans="1:11" ht="36.75" thickBot="1" x14ac:dyDescent="0.3">
      <c r="A14" s="1"/>
      <c r="B14" s="11">
        <f t="shared" si="0"/>
        <v>12</v>
      </c>
      <c r="C14" s="13" t="s">
        <v>6</v>
      </c>
      <c r="D14" s="9" t="s">
        <v>29</v>
      </c>
      <c r="E14" s="10" t="s">
        <v>60</v>
      </c>
      <c r="F14" s="7" t="s">
        <v>164</v>
      </c>
      <c r="G14" s="10" t="s">
        <v>88</v>
      </c>
      <c r="H14" s="9" t="s">
        <v>134</v>
      </c>
      <c r="I14" s="10" t="s">
        <v>163</v>
      </c>
      <c r="J14" s="9">
        <v>1</v>
      </c>
      <c r="K14" s="9"/>
    </row>
    <row r="15" spans="1:11" ht="36.75" thickBot="1" x14ac:dyDescent="0.3">
      <c r="A15" s="1"/>
      <c r="B15" s="11">
        <f>ROW(B15) - ROW($B$2)</f>
        <v>13</v>
      </c>
      <c r="C15" s="12" t="s">
        <v>7</v>
      </c>
      <c r="D15" s="7" t="s">
        <v>30</v>
      </c>
      <c r="E15" s="8" t="s">
        <v>61</v>
      </c>
      <c r="F15" s="7" t="s">
        <v>164</v>
      </c>
      <c r="G15" s="8" t="s">
        <v>113</v>
      </c>
      <c r="H15" s="7" t="s">
        <v>135</v>
      </c>
      <c r="I15" s="10" t="s">
        <v>163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8</v>
      </c>
      <c r="D16" s="9" t="s">
        <v>31</v>
      </c>
      <c r="E16" s="10" t="s">
        <v>62</v>
      </c>
      <c r="F16" s="7" t="s">
        <v>164</v>
      </c>
      <c r="G16" s="10" t="s">
        <v>89</v>
      </c>
      <c r="H16" s="9" t="s">
        <v>136</v>
      </c>
      <c r="I16" s="10" t="s">
        <v>153</v>
      </c>
      <c r="J16" s="9">
        <v>1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9</v>
      </c>
      <c r="D17" s="7" t="s">
        <v>32</v>
      </c>
      <c r="E17" s="8" t="s">
        <v>63</v>
      </c>
      <c r="F17" s="7" t="s">
        <v>90</v>
      </c>
      <c r="G17" s="8" t="s">
        <v>114</v>
      </c>
      <c r="H17" s="7" t="s">
        <v>137</v>
      </c>
      <c r="I17" s="8" t="s">
        <v>163</v>
      </c>
      <c r="J17" s="7">
        <v>1</v>
      </c>
      <c r="K17" s="7"/>
    </row>
    <row r="18" spans="1:11" ht="36.75" thickBot="1" x14ac:dyDescent="0.3">
      <c r="A18" s="1"/>
      <c r="B18" s="11">
        <f t="shared" si="0"/>
        <v>16</v>
      </c>
      <c r="C18" s="13" t="s">
        <v>10</v>
      </c>
      <c r="D18" s="9" t="s">
        <v>33</v>
      </c>
      <c r="E18" s="10" t="s">
        <v>64</v>
      </c>
      <c r="F18" s="9" t="s">
        <v>91</v>
      </c>
      <c r="G18" s="10" t="s">
        <v>115</v>
      </c>
      <c r="H18" s="9" t="s">
        <v>138</v>
      </c>
      <c r="I18" s="8" t="s">
        <v>163</v>
      </c>
      <c r="J18" s="9">
        <v>1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11</v>
      </c>
      <c r="D19" s="7" t="s">
        <v>34</v>
      </c>
      <c r="E19" s="8" t="s">
        <v>65</v>
      </c>
      <c r="F19" s="7" t="s">
        <v>92</v>
      </c>
      <c r="G19" s="8" t="s">
        <v>116</v>
      </c>
      <c r="H19" s="7" t="s">
        <v>132</v>
      </c>
      <c r="I19" s="8" t="s">
        <v>163</v>
      </c>
      <c r="J19" s="7">
        <v>2</v>
      </c>
      <c r="K19" s="7"/>
    </row>
    <row r="20" spans="1:11" ht="48.75" thickBot="1" x14ac:dyDescent="0.3">
      <c r="A20" s="1"/>
      <c r="B20" s="11">
        <f t="shared" si="0"/>
        <v>18</v>
      </c>
      <c r="C20" s="13" t="s">
        <v>10</v>
      </c>
      <c r="D20" s="9" t="s">
        <v>35</v>
      </c>
      <c r="E20" s="10" t="s">
        <v>66</v>
      </c>
      <c r="F20" s="9" t="s">
        <v>93</v>
      </c>
      <c r="G20" s="10" t="s">
        <v>117</v>
      </c>
      <c r="H20" s="9" t="s">
        <v>139</v>
      </c>
      <c r="I20" s="8" t="s">
        <v>163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12</v>
      </c>
      <c r="D21" s="7" t="s">
        <v>36</v>
      </c>
      <c r="E21" s="8" t="s">
        <v>67</v>
      </c>
      <c r="F21" s="7" t="s">
        <v>94</v>
      </c>
      <c r="G21" s="8" t="s">
        <v>118</v>
      </c>
      <c r="H21" s="7" t="s">
        <v>130</v>
      </c>
      <c r="I21" s="8" t="s">
        <v>154</v>
      </c>
      <c r="J21" s="7">
        <v>3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12</v>
      </c>
      <c r="D22" s="9" t="s">
        <v>37</v>
      </c>
      <c r="E22" s="10" t="s">
        <v>68</v>
      </c>
      <c r="F22" s="9" t="s">
        <v>94</v>
      </c>
      <c r="G22" s="10" t="s">
        <v>119</v>
      </c>
      <c r="H22" s="9" t="s">
        <v>130</v>
      </c>
      <c r="I22" s="10" t="s">
        <v>155</v>
      </c>
      <c r="J22" s="9">
        <v>3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12</v>
      </c>
      <c r="D23" s="7" t="s">
        <v>38</v>
      </c>
      <c r="E23" s="8" t="s">
        <v>69</v>
      </c>
      <c r="F23" s="7" t="s">
        <v>94</v>
      </c>
      <c r="G23" s="8" t="s">
        <v>120</v>
      </c>
      <c r="H23" s="7" t="s">
        <v>130</v>
      </c>
      <c r="I23" s="8" t="s">
        <v>156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12</v>
      </c>
      <c r="D24" s="9" t="s">
        <v>39</v>
      </c>
      <c r="E24" s="10" t="s">
        <v>70</v>
      </c>
      <c r="F24" s="9" t="s">
        <v>94</v>
      </c>
      <c r="G24" s="10" t="s">
        <v>121</v>
      </c>
      <c r="H24" s="9" t="s">
        <v>130</v>
      </c>
      <c r="I24" s="10" t="s">
        <v>157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/>
      <c r="D25" s="7" t="s">
        <v>40</v>
      </c>
      <c r="E25" s="8" t="s">
        <v>71</v>
      </c>
      <c r="F25" s="7" t="s">
        <v>94</v>
      </c>
      <c r="G25" s="8" t="s">
        <v>122</v>
      </c>
      <c r="H25" s="7" t="s">
        <v>130</v>
      </c>
      <c r="I25" s="8" t="s">
        <v>158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12</v>
      </c>
      <c r="D26" s="9" t="s">
        <v>41</v>
      </c>
      <c r="E26" s="10" t="s">
        <v>72</v>
      </c>
      <c r="F26" s="9" t="s">
        <v>94</v>
      </c>
      <c r="G26" s="10" t="s">
        <v>123</v>
      </c>
      <c r="H26" s="9" t="s">
        <v>130</v>
      </c>
      <c r="I26" s="10" t="s">
        <v>159</v>
      </c>
      <c r="J26" s="9">
        <v>3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13</v>
      </c>
      <c r="D27" s="7" t="s">
        <v>42</v>
      </c>
      <c r="E27" s="8" t="s">
        <v>73</v>
      </c>
      <c r="F27" s="7" t="s">
        <v>164</v>
      </c>
      <c r="G27" s="7" t="s">
        <v>95</v>
      </c>
      <c r="H27" s="7" t="s">
        <v>140</v>
      </c>
      <c r="I27" s="8" t="s">
        <v>163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13</v>
      </c>
      <c r="D28" s="9" t="s">
        <v>43</v>
      </c>
      <c r="E28" s="10" t="s">
        <v>74</v>
      </c>
      <c r="F28" s="7" t="s">
        <v>164</v>
      </c>
      <c r="G28" s="10" t="s">
        <v>96</v>
      </c>
      <c r="H28" s="9" t="s">
        <v>141</v>
      </c>
      <c r="I28" s="8" t="s">
        <v>163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14</v>
      </c>
      <c r="D29" s="7" t="s">
        <v>44</v>
      </c>
      <c r="E29" s="8" t="s">
        <v>75</v>
      </c>
      <c r="F29" s="7" t="s">
        <v>164</v>
      </c>
      <c r="G29" s="8" t="s">
        <v>97</v>
      </c>
      <c r="H29" s="7" t="s">
        <v>142</v>
      </c>
      <c r="I29" s="8" t="s">
        <v>163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15</v>
      </c>
      <c r="D30" s="9" t="s">
        <v>45</v>
      </c>
      <c r="E30" s="10" t="s">
        <v>76</v>
      </c>
      <c r="F30" s="9" t="s">
        <v>98</v>
      </c>
      <c r="G30" s="10" t="s">
        <v>124</v>
      </c>
      <c r="H30" s="9" t="s">
        <v>133</v>
      </c>
      <c r="I30" s="8" t="s">
        <v>163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15</v>
      </c>
      <c r="D31" s="7" t="s">
        <v>46</v>
      </c>
      <c r="E31" s="8" t="s">
        <v>77</v>
      </c>
      <c r="F31" s="7" t="s">
        <v>99</v>
      </c>
      <c r="G31" s="8" t="s">
        <v>125</v>
      </c>
      <c r="H31" s="7" t="s">
        <v>143</v>
      </c>
      <c r="I31" s="8" t="s">
        <v>163</v>
      </c>
      <c r="J31" s="7">
        <v>1</v>
      </c>
      <c r="K31" s="7"/>
    </row>
    <row r="32" spans="1:11" ht="36.75" thickBot="1" x14ac:dyDescent="0.3">
      <c r="A32" s="1"/>
      <c r="B32" s="11">
        <f t="shared" si="0"/>
        <v>30</v>
      </c>
      <c r="C32" s="13" t="s">
        <v>16</v>
      </c>
      <c r="D32" s="9" t="s">
        <v>47</v>
      </c>
      <c r="E32" s="10" t="s">
        <v>78</v>
      </c>
      <c r="F32" s="9" t="s">
        <v>100</v>
      </c>
      <c r="G32" s="10" t="s">
        <v>126</v>
      </c>
      <c r="H32" s="9" t="s">
        <v>144</v>
      </c>
      <c r="I32" s="8" t="s">
        <v>163</v>
      </c>
      <c r="J32" s="9">
        <v>1</v>
      </c>
      <c r="K32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2025-07-22T11:53:48Z</dcterms:modified>
</cp:coreProperties>
</file>